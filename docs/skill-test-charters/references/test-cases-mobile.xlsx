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na\OneDrive - UKIM, FINKI\Desktop\"/>
    </mc:Choice>
  </mc:AlternateContent>
  <xr:revisionPtr revIDLastSave="0" documentId="13_ncr:1_{B3B8118F-C733-4FE7-9555-0F3D299FDFB5}" xr6:coauthVersionLast="47" xr6:coauthVersionMax="47" xr10:uidLastSave="{00000000-0000-0000-0000-000000000000}"/>
  <bookViews>
    <workbookView xWindow="-108" yWindow="-108" windowWidth="23256" windowHeight="12456" activeTab="2" xr2:uid="{AFDF9CE0-FAB0-4FC9-9CB1-F6BCCA7DA609}"/>
  </bookViews>
  <sheets>
    <sheet name="Test cases" sheetId="1" r:id="rId1"/>
    <sheet name="Defects" sheetId="3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7" i="2"/>
  <c r="C6" i="2"/>
</calcChain>
</file>

<file path=xl/sharedStrings.xml><?xml version="1.0" encoding="utf-8"?>
<sst xmlns="http://schemas.openxmlformats.org/spreadsheetml/2006/main" count="302" uniqueCount="204">
  <si>
    <t>Test Case 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</si>
  <si>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</si>
  <si>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</si>
  <si>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</si>
  <si>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</si>
  <si>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</si>
  <si>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</si>
  <si>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</si>
  <si>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</si>
  <si>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TC_001</t>
  </si>
  <si>
    <t>User is on homepage</t>
  </si>
  <si>
    <t>Relevant pillow products displayed</t>
  </si>
  <si>
    <t>Failed</t>
  </si>
  <si>
    <t>Medium</t>
  </si>
  <si>
    <t>TC_002</t>
  </si>
  <si>
    <t>(empty)</t>
  </si>
  <si>
    <t>Suggestions or all products displayed</t>
  </si>
  <si>
    <t>No results</t>
  </si>
  <si>
    <t>TC_003</t>
  </si>
  <si>
    <t>TC_004</t>
  </si>
  <si>
    <t>TC_005</t>
  </si>
  <si>
    <t>TC_006</t>
  </si>
  <si>
    <t>TC_007</t>
  </si>
  <si>
    <t>TC_008</t>
  </si>
  <si>
    <t>User is in clothing section</t>
  </si>
  <si>
    <t>Size, color</t>
  </si>
  <si>
    <t>Filters applied after conformation</t>
  </si>
  <si>
    <t>Page refreshes everytime</t>
  </si>
  <si>
    <t>Low</t>
  </si>
  <si>
    <t>Filter causes blank page</t>
  </si>
  <si>
    <t>User is in Brand Graphic Corner section</t>
  </si>
  <si>
    <t xml:space="preserve">1.Go to Graphic Corner products 
2.Select brand filter </t>
  </si>
  <si>
    <t xml:space="preserve">Filtered products should be displayed </t>
  </si>
  <si>
    <t xml:space="preserve"> Page becomes blank (only navbar and breadcrumbs visible) </t>
  </si>
  <si>
    <t>High</t>
  </si>
  <si>
    <t>TC_009</t>
  </si>
  <si>
    <t>TC_010</t>
  </si>
  <si>
    <t>TC_011</t>
  </si>
  <si>
    <t>TC_012</t>
  </si>
  <si>
    <t>Responsive layout</t>
  </si>
  <si>
    <t>User is in homepage</t>
  </si>
  <si>
    <t>1.Change site language</t>
  </si>
  <si>
    <t>language</t>
  </si>
  <si>
    <t>Entire site language updates</t>
  </si>
  <si>
    <t xml:space="preserve">Some parts remain unchanged </t>
  </si>
  <si>
    <t>Homepage not responsive</t>
  </si>
  <si>
    <t>TC_013</t>
  </si>
  <si>
    <t>1.	Open homepage 
2.	Open the navbar and choose Contact us</t>
  </si>
  <si>
    <t>Contact us page</t>
  </si>
  <si>
    <t>Error page</t>
  </si>
  <si>
    <t>TC_014</t>
  </si>
  <si>
    <t>TC_015</t>
  </si>
  <si>
    <t>1.	Open homepage 
2.	Open the navbar and choose Log in</t>
  </si>
  <si>
    <t>username, password</t>
  </si>
  <si>
    <t>Logged in with credentials</t>
  </si>
  <si>
    <t>Authentication failed</t>
  </si>
  <si>
    <t>1.	Open homepage 
2.	Scroll down to see products
3.	Add the black t-shirt in the cart</t>
  </si>
  <si>
    <t>A black t-shirt added in the cart</t>
  </si>
  <si>
    <t>A white t-shirt was added in the cart</t>
  </si>
  <si>
    <t>TEST CASES</t>
  </si>
  <si>
    <t>Open homepage</t>
  </si>
  <si>
    <t>1.Open website URL</t>
  </si>
  <si>
    <t>URL</t>
  </si>
  <si>
    <t>Homepage loads without errors</t>
  </si>
  <si>
    <t>Homepage loads correctly</t>
  </si>
  <si>
    <t>Passed</t>
  </si>
  <si>
    <t>1. Click on category</t>
  </si>
  <si>
    <t>Clothing</t>
  </si>
  <si>
    <t>User is redirected to selected category</t>
  </si>
  <si>
    <t>User is redirected correctly</t>
  </si>
  <si>
    <t>Verify adding product to cart</t>
  </si>
  <si>
    <t>User is on product page</t>
  </si>
  <si>
    <t>1. Open product                         2. Click "Add to cart"</t>
  </si>
  <si>
    <t>Any product</t>
  </si>
  <si>
    <t>Product is added to cart</t>
  </si>
  <si>
    <t>Product is successfully added</t>
  </si>
  <si>
    <t>Verify product details page opens</t>
  </si>
  <si>
    <t>User is on category page</t>
  </si>
  <si>
    <t>1. Click on product</t>
  </si>
  <si>
    <t>Product details page opens</t>
  </si>
  <si>
    <t>Product details page opens correctly</t>
  </si>
  <si>
    <t>TC_016</t>
  </si>
  <si>
    <t>TC_017</t>
  </si>
  <si>
    <t>Verify add to cart items</t>
  </si>
  <si>
    <t xml:space="preserve">Verify Contact us page </t>
  </si>
  <si>
    <t>Change language</t>
  </si>
  <si>
    <t>User is on any page</t>
  </si>
  <si>
    <t>1. Click on website logo</t>
  </si>
  <si>
    <t>User is redirected to homepage</t>
  </si>
  <si>
    <t>User is in cart</t>
  </si>
  <si>
    <t>1. Open cart         2.Remove product</t>
  </si>
  <si>
    <t>Product is removed</t>
  </si>
  <si>
    <t>Product removed successfully</t>
  </si>
  <si>
    <t>1. Enter product name         2. Click search</t>
  </si>
  <si>
    <t>shirt</t>
  </si>
  <si>
    <t>Relevant products displayed</t>
  </si>
  <si>
    <t>Relevant products shown</t>
  </si>
  <si>
    <t>Verify hamburger menu opens and works on mobile</t>
  </si>
  <si>
    <t>1. Click on hamburger menu icon</t>
  </si>
  <si>
    <t>Navigation menu opens</t>
  </si>
  <si>
    <t>Menu opens correctly</t>
  </si>
  <si>
    <t>Verify layout adapts  to mobile screen</t>
  </si>
  <si>
    <t>Mobile view enabled</t>
  </si>
  <si>
    <t>1.Open homepage                    2. Navigate through pages</t>
  </si>
  <si>
    <t>Layout fits screen without breaking</t>
  </si>
  <si>
    <t>Layout is not responsive on some pages</t>
  </si>
  <si>
    <t>Verify footer is accessible on mobile</t>
  </si>
  <si>
    <t>1. Scroll to bottom</t>
  </si>
  <si>
    <t>Footer is visible and usable</t>
  </si>
  <si>
    <t>Footer displayes correctly</t>
  </si>
  <si>
    <t>1. Open filters                       2. Select multiple filters</t>
  </si>
  <si>
    <t>1. Click search bar            2. Click search without input</t>
  </si>
  <si>
    <t>User is on Contact page</t>
  </si>
  <si>
    <t>User is on Log in page</t>
  </si>
  <si>
    <t>Verify Log in</t>
  </si>
  <si>
    <t>Verify Filter in Graphic Corner section</t>
  </si>
  <si>
    <t>Verify change language logic</t>
  </si>
  <si>
    <t>Verify multiple filter logic</t>
  </si>
  <si>
    <t>Verify homepage logic</t>
  </si>
  <si>
    <t>Verify logo redirect logic</t>
  </si>
  <si>
    <t>Verify remove product from  cart logic</t>
  </si>
  <si>
    <t>Verify search logic with valid input</t>
  </si>
  <si>
    <t>Verify seach logic with empty input</t>
  </si>
  <si>
    <t>Verify navigate between pages logic</t>
  </si>
  <si>
    <t>Metric</t>
  </si>
  <si>
    <t>Value</t>
  </si>
  <si>
    <t>Total Test Cases</t>
  </si>
  <si>
    <t>Total Bugs</t>
  </si>
  <si>
    <t>Irrelevant search results</t>
  </si>
  <si>
    <t>Mobile</t>
  </si>
  <si>
    <t>Unrelated products appear first</t>
  </si>
  <si>
    <t>Open</t>
  </si>
  <si>
    <t>BUG_002</t>
  </si>
  <si>
    <t>Empty search returns no results</t>
  </si>
  <si>
    <t>No results shown</t>
  </si>
  <si>
    <t>BUG_003</t>
  </si>
  <si>
    <t>Filter resets on selection</t>
  </si>
  <si>
    <t>Filters applied after confirmation</t>
  </si>
  <si>
    <t>BUG_004</t>
  </si>
  <si>
    <t>Filtered products displayed</t>
  </si>
  <si>
    <t>Page becomes blank</t>
  </si>
  <si>
    <t>BUG_005</t>
  </si>
  <si>
    <t>Layout overflow in Art section</t>
  </si>
  <si>
    <t>BUG_006</t>
  </si>
  <si>
    <t>Policies not clickable</t>
  </si>
  <si>
    <t>BUG_007</t>
  </si>
  <si>
    <t>Misleading pack deal description</t>
  </si>
  <si>
    <t>BUG_008</t>
  </si>
  <si>
    <t>Cart preview incomplete</t>
  </si>
  <si>
    <t>All items visible</t>
  </si>
  <si>
    <t>Only last item shown</t>
  </si>
  <si>
    <t>BUG_009</t>
  </si>
  <si>
    <t>Customer service form layout broken</t>
  </si>
  <si>
    <t>Proper layout</t>
  </si>
  <si>
    <t>BUG_010</t>
  </si>
  <si>
    <t>Layout breaks</t>
  </si>
  <si>
    <t>Bug ID</t>
  </si>
  <si>
    <t>Environment</t>
  </si>
  <si>
    <t>Steps to Reproduce</t>
  </si>
  <si>
    <t>Severity</t>
  </si>
  <si>
    <t>BUG_001</t>
  </si>
  <si>
    <t>Open homepage; Search 'pillow'</t>
  </si>
  <si>
    <t>Click search bar; Submit empty</t>
  </si>
  <si>
    <t>Open clothing; Apply filter; Select multiple</t>
  </si>
  <si>
    <t>Page refreshes each selection</t>
  </si>
  <si>
    <t>Go to Graphic Corner; Apply filter</t>
  </si>
  <si>
    <t>Open Art; Use filters</t>
  </si>
  <si>
    <t>Layout fits screen</t>
  </si>
  <si>
    <t>Horizontal overflow</t>
  </si>
  <si>
    <t>Proceed to checkout; Check policies</t>
  </si>
  <si>
    <t>Policies clickable</t>
  </si>
  <si>
    <t>Not clickable</t>
  </si>
  <si>
    <t>Open Pack Deal</t>
  </si>
  <si>
    <t>Description matches</t>
  </si>
  <si>
    <t>Mismatch</t>
  </si>
  <si>
    <t>Add multiple items</t>
  </si>
  <si>
    <t>Open customer service page</t>
  </si>
  <si>
    <t>Broken layout</t>
  </si>
  <si>
    <t>Filter layout issue (Men)</t>
  </si>
  <si>
    <t>Open Men; Apply filter</t>
  </si>
  <si>
    <t>BUG_011</t>
  </si>
  <si>
    <t>Language not fully updated</t>
  </si>
  <si>
    <t>Full translation</t>
  </si>
  <si>
    <t>Partial update</t>
  </si>
  <si>
    <t>BUG_012</t>
  </si>
  <si>
    <t>Fits screen</t>
  </si>
  <si>
    <t>Horizontal scroll</t>
  </si>
  <si>
    <t>BUG_013</t>
  </si>
  <si>
    <t>Contact Us not accessible</t>
  </si>
  <si>
    <t>Navbar; Contact Us</t>
  </si>
  <si>
    <t>Page opens</t>
  </si>
  <si>
    <t>BUG_014</t>
  </si>
  <si>
    <t>Authentication failure</t>
  </si>
  <si>
    <t>Login with valid creds</t>
  </si>
  <si>
    <t>User logs in</t>
  </si>
  <si>
    <t>Fails</t>
  </si>
  <si>
    <t>DEFECTS</t>
  </si>
  <si>
    <t>SUMMARY</t>
  </si>
  <si>
    <t>Closed</t>
  </si>
  <si>
    <t>Filter option not found</t>
  </si>
  <si>
    <t xml:space="preserve">Search 'Graphic Corner'; </t>
  </si>
  <si>
    <t>BUG_015</t>
  </si>
  <si>
    <t>The button 'Filter' displayed</t>
  </si>
  <si>
    <t>The button 'Filter' isn't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</si>
</sst>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7" tint="-0.499984740745262"/>
        </patternFill>
      </fill>
    </dxf>
    <dxf>
      <fill>
        <patternFill patternType="solid">
          <fgColor indexed="64"/>
          <bgColor theme="7" tint="-0.499984740745262"/>
        </patternFill>
      </fill>
      <alignment vertical="bottom" textRotation="0" wrapText="1" indent="0" justifyLastLine="0" shrinkToFit="0" readingOrder="0"/>
    </dxf>
    <dxf>
      <fill>
        <patternFill patternType="solid">
          <fgColor indexed="64"/>
          <bgColor theme="7" tint="-0.499984740745262"/>
        </patternFill>
      </fill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13C67-0C39-436A-A45C-F36A8FB158CB}" name="Table1" displayName="Table1" ref="B5:J23" totalsRowShown="0" headerRowDxfId="7" dataDxfId="9">
  <autoFilter ref="B5:J23" xr:uid="{5AE13C67-0C39-436A-A45C-F36A8FB158CB}"/>
  <sortState xmlns:xlrd2="http://schemas.microsoft.com/office/spreadsheetml/2017/richdata2" ref="B6:J23">
    <sortCondition ref="I5:I23"/>
  </sortState>
  <tableColumns count="9">
    <tableColumn id="1" xr3:uid="{D448E0FF-4FA4-4E98-92E0-E5C10FDA2AC2}" name="Test Case ID" dataDxfId="28"/>
    <tableColumn id="2" xr3:uid="{74C2E3B5-9233-4E44-AD6A-C1585F065B5A}" name="Title" dataDxfId="27"/>
    <tableColumn id="3" xr3:uid="{0C3B79DA-334E-4DCB-87A8-1ED0771FFC85}" name="Preconditions" dataDxfId="26"/>
    <tableColumn id="4" xr3:uid="{1F3EEE16-028D-4546-B5A5-FF5BADF2F320}" name="Steps" dataDxfId="25"/>
    <tableColumn id="5" xr3:uid="{48EEF993-EE87-4E56-892E-70C1B9E3D1B2}" name="Test Data" dataDxfId="24"/>
    <tableColumn id="6" xr3:uid="{AD698F5F-A993-4E28-BF6E-BF7C03BC8066}" name="Expected Result" dataDxfId="23"/>
    <tableColumn id="7" xr3:uid="{503A7A18-BCF0-488F-98CD-C91DCFAF889F}" name="Actual Result" dataDxfId="22"/>
    <tableColumn id="8" xr3:uid="{B13B6EA3-4841-48BD-9E67-1EFCE9BD82D6}" name="Status" dataDxfId="21"/>
    <tableColumn id="9" xr3:uid="{E89FD8B9-DC9D-4C36-B1A4-6F47AA27600F}" name="Priority" dataDxfId="2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396D2-1807-4BDE-B107-7B2A2A1FA763}" name="Table3" displayName="Table3" ref="B5:I20" totalsRowShown="0" headerRowDxfId="8" dataDxfId="10">
  <autoFilter ref="B5:I20" xr:uid="{097396D2-1807-4BDE-B107-7B2A2A1FA763}"/>
  <tableColumns count="8">
    <tableColumn id="1" xr3:uid="{890D9EB1-EA88-4FF3-BBF6-6EB55A62FDCB}" name="Bug ID" dataDxfId="18"/>
    <tableColumn id="2" xr3:uid="{0EA165F7-89CD-4731-A203-A71EF0C80892}" name="Title" dataDxfId="17"/>
    <tableColumn id="3" xr3:uid="{5CB4FE4B-18F3-4435-9446-BFD49C4FC8E9}" name="Environment" dataDxfId="16"/>
    <tableColumn id="4" xr3:uid="{0C44C156-0980-4965-94C0-491555ECDCD1}" name="Steps to Reproduce" dataDxfId="15"/>
    <tableColumn id="5" xr3:uid="{B1CD3B8D-97D2-4305-B2D6-66DF34BEBACE}" name="Expected Result" dataDxfId="14"/>
    <tableColumn id="6" xr3:uid="{754402EA-3FE6-4AF8-BE33-BBDCA98AC82F}" name="Actual Result" dataDxfId="13"/>
    <tableColumn id="7" xr3:uid="{2BDAA344-8BFB-4BBD-BD9D-5198AC5EDDF6}" name="Severity" dataDxfId="12"/>
    <tableColumn id="8" xr3:uid="{7E74B731-8C0D-4F4E-89B6-1AAD7528B315}" name="Status" dataDxfId="11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2E855-F08D-491E-AC0A-8C528F98CB39}" name="Table2" displayName="Table2" ref="B4:C11" totalsRowShown="0" headerRowDxfId="6">
  <autoFilter ref="B4:C11" xr:uid="{CFB2E855-F08D-491E-AC0A-8C528F98CB39}"/>
  <tableColumns count="2">
    <tableColumn id="1" xr3:uid="{12EBE9E7-C84F-4A06-92B7-AB8244571759}" name="Metric"/>
    <tableColumn id="2" xr3:uid="{B4527BD4-D64E-443C-9C97-DA758D3FD8A8}" name="Value" dataDxfId="19">
      <calculatedColumnFormula>COUNT('Test cases'!B6:B22)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C47-E8C2-4B40-A726-B14BECCDD4D1}">
  <dimension ref="B2:J22"/>
  <sheetViews>
    <sheetView topLeftCell="A17" workbookViewId="0">
      <selection activeCell="L8" sqref="L8"/>
    </sheetView>
  </sheetViews>
  <sheetFormatPr defaultRowHeight="14.4" x14ac:dyDescent="0.3"/>
  <cols>
    <col min="1" max="1" width="8.88671875" style="1"/>
    <col min="2" max="3" width="20.5546875" style="1" customWidth="1"/>
    <col min="4" max="4" width="20.44140625" style="1" customWidth="1"/>
    <col min="5" max="5" width="20.6640625" style="1" customWidth="1"/>
    <col min="6" max="6" width="20.88671875" style="1" customWidth="1"/>
    <col min="7" max="7" width="20.77734375" style="1" customWidth="1"/>
    <col min="8" max="8" width="20.109375" style="1" customWidth="1"/>
    <col min="9" max="9" width="14.33203125" style="1" customWidth="1"/>
    <col min="10" max="10" width="13.6640625" style="1" customWidth="1"/>
    <col min="11" max="16384" width="8.88671875" style="1"/>
  </cols>
  <sheetData>
    <row r="2" spans="2:10" ht="26.4" customHeight="1" x14ac:dyDescent="0.4">
      <c r="B2" s="7" t="s">
        <v>59</v>
      </c>
      <c r="C2" s="8"/>
      <c r="D2" s="8"/>
      <c r="E2" s="8"/>
      <c r="F2" s="8"/>
      <c r="G2" s="8"/>
      <c r="H2" s="8"/>
    </row>
    <row r="4" spans="2:10" x14ac:dyDescent="0.3">
      <c r="C4" s="2"/>
      <c r="D4" s="2"/>
      <c r="E4" s="2"/>
      <c r="F4" s="2"/>
      <c r="G4" s="2"/>
      <c r="H4" s="2"/>
      <c r="I4" s="2"/>
      <c r="J4" s="2"/>
    </row>
    <row r="5" spans="2:10" ht="28.8" customHeight="1" x14ac:dyDescent="0.3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 ht="43.2" x14ac:dyDescent="0.3">
      <c r="B6" s="1" t="s">
        <v>9</v>
      </c>
      <c r="C6" s="1" t="s">
        <v>122</v>
      </c>
      <c r="D6" s="1" t="s">
        <v>10</v>
      </c>
      <c r="E6" s="1" t="s">
        <v>111</v>
      </c>
      <c r="F6" s="1" t="s">
        <v>15</v>
      </c>
      <c r="G6" s="1" t="s">
        <v>16</v>
      </c>
      <c r="H6" s="1" t="s">
        <v>17</v>
      </c>
      <c r="I6" s="1" t="s">
        <v>12</v>
      </c>
      <c r="J6" s="1" t="s">
        <v>13</v>
      </c>
    </row>
    <row r="7" spans="2:10" ht="28.8" x14ac:dyDescent="0.3">
      <c r="B7" s="1" t="s">
        <v>14</v>
      </c>
      <c r="C7" s="1" t="s">
        <v>117</v>
      </c>
      <c r="D7" s="1" t="s">
        <v>24</v>
      </c>
      <c r="E7" s="1" t="s">
        <v>110</v>
      </c>
      <c r="F7" s="1" t="s">
        <v>25</v>
      </c>
      <c r="G7" s="1" t="s">
        <v>26</v>
      </c>
      <c r="H7" s="1" t="s">
        <v>27</v>
      </c>
      <c r="I7" s="1" t="s">
        <v>12</v>
      </c>
      <c r="J7" s="1" t="s">
        <v>28</v>
      </c>
    </row>
    <row r="8" spans="2:10" ht="43.2" x14ac:dyDescent="0.3">
      <c r="B8" s="1" t="s">
        <v>18</v>
      </c>
      <c r="C8" s="1" t="s">
        <v>115</v>
      </c>
      <c r="D8" s="1" t="s">
        <v>30</v>
      </c>
      <c r="E8" s="1" t="s">
        <v>31</v>
      </c>
      <c r="F8" s="1" t="s">
        <v>15</v>
      </c>
      <c r="G8" s="1" t="s">
        <v>32</v>
      </c>
      <c r="H8" s="1" t="s">
        <v>33</v>
      </c>
      <c r="I8" s="1" t="s">
        <v>12</v>
      </c>
      <c r="J8" s="1" t="s">
        <v>34</v>
      </c>
    </row>
    <row r="9" spans="2:10" ht="28.8" x14ac:dyDescent="0.3">
      <c r="B9" s="1" t="s">
        <v>19</v>
      </c>
      <c r="C9" s="1" t="s">
        <v>116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12</v>
      </c>
      <c r="J9" s="1" t="s">
        <v>13</v>
      </c>
    </row>
    <row r="10" spans="2:10" ht="43.2" x14ac:dyDescent="0.3">
      <c r="B10" s="1" t="s">
        <v>20</v>
      </c>
      <c r="C10" s="1" t="s">
        <v>84</v>
      </c>
      <c r="D10" s="1" t="s">
        <v>112</v>
      </c>
      <c r="E10" s="1" t="s">
        <v>47</v>
      </c>
      <c r="F10" s="1" t="s">
        <v>15</v>
      </c>
      <c r="G10" s="1" t="s">
        <v>48</v>
      </c>
      <c r="H10" s="1" t="s">
        <v>49</v>
      </c>
      <c r="I10" s="1" t="s">
        <v>12</v>
      </c>
      <c r="J10" s="1" t="s">
        <v>34</v>
      </c>
    </row>
    <row r="11" spans="2:10" ht="43.2" x14ac:dyDescent="0.3">
      <c r="B11" s="1" t="s">
        <v>21</v>
      </c>
      <c r="C11" s="1" t="s">
        <v>114</v>
      </c>
      <c r="D11" s="1" t="s">
        <v>113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12</v>
      </c>
      <c r="J11" s="1" t="s">
        <v>34</v>
      </c>
    </row>
    <row r="12" spans="2:10" ht="72" x14ac:dyDescent="0.3">
      <c r="B12" s="1" t="s">
        <v>22</v>
      </c>
      <c r="C12" s="1" t="s">
        <v>83</v>
      </c>
      <c r="D12" s="1" t="s">
        <v>40</v>
      </c>
      <c r="E12" s="1" t="s">
        <v>56</v>
      </c>
      <c r="F12" s="1" t="s">
        <v>15</v>
      </c>
      <c r="G12" s="1" t="s">
        <v>57</v>
      </c>
      <c r="H12" s="1" t="s">
        <v>58</v>
      </c>
      <c r="I12" s="1" t="s">
        <v>12</v>
      </c>
      <c r="J12" s="1" t="s">
        <v>34</v>
      </c>
    </row>
    <row r="13" spans="2:10" ht="43.2" x14ac:dyDescent="0.3">
      <c r="B13" s="1" t="s">
        <v>23</v>
      </c>
      <c r="C13" s="1" t="s">
        <v>101</v>
      </c>
      <c r="D13" s="1" t="s">
        <v>102</v>
      </c>
      <c r="E13" s="1" t="s">
        <v>103</v>
      </c>
      <c r="F13" s="1" t="s">
        <v>15</v>
      </c>
      <c r="G13" s="1" t="s">
        <v>104</v>
      </c>
      <c r="H13" s="1" t="s">
        <v>105</v>
      </c>
      <c r="I13" s="1" t="s">
        <v>12</v>
      </c>
      <c r="J13" s="1" t="s">
        <v>34</v>
      </c>
    </row>
    <row r="14" spans="2:10" ht="28.8" x14ac:dyDescent="0.3">
      <c r="B14" s="1" t="s">
        <v>35</v>
      </c>
      <c r="C14" s="1" t="s">
        <v>118</v>
      </c>
      <c r="D14" s="1" t="s">
        <v>10</v>
      </c>
      <c r="E14" s="1" t="s">
        <v>61</v>
      </c>
      <c r="F14" s="1" t="s">
        <v>62</v>
      </c>
      <c r="G14" s="1" t="s">
        <v>63</v>
      </c>
      <c r="H14" s="1" t="s">
        <v>64</v>
      </c>
      <c r="I14" s="1" t="s">
        <v>65</v>
      </c>
      <c r="J14" s="1" t="s">
        <v>34</v>
      </c>
    </row>
    <row r="15" spans="2:10" ht="28.8" x14ac:dyDescent="0.3">
      <c r="B15" s="1" t="s">
        <v>36</v>
      </c>
      <c r="C15" s="1" t="s">
        <v>123</v>
      </c>
      <c r="D15" s="1" t="s">
        <v>10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65</v>
      </c>
      <c r="J15" s="1" t="s">
        <v>13</v>
      </c>
    </row>
    <row r="16" spans="2:10" ht="28.8" x14ac:dyDescent="0.3">
      <c r="B16" s="1" t="s">
        <v>37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75</v>
      </c>
      <c r="I16" s="1" t="s">
        <v>65</v>
      </c>
      <c r="J16" s="1" t="s">
        <v>34</v>
      </c>
    </row>
    <row r="17" spans="2:10" ht="28.8" x14ac:dyDescent="0.3">
      <c r="B17" s="1" t="s">
        <v>38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79</v>
      </c>
      <c r="H17" s="1" t="s">
        <v>80</v>
      </c>
      <c r="I17" s="1" t="s">
        <v>65</v>
      </c>
      <c r="J17" s="1" t="s">
        <v>34</v>
      </c>
    </row>
    <row r="18" spans="2:10" ht="28.8" x14ac:dyDescent="0.3">
      <c r="B18" s="1" t="s">
        <v>46</v>
      </c>
      <c r="C18" s="1" t="s">
        <v>119</v>
      </c>
      <c r="D18" s="1" t="s">
        <v>86</v>
      </c>
      <c r="E18" s="1" t="s">
        <v>87</v>
      </c>
      <c r="F18" s="1" t="s">
        <v>15</v>
      </c>
      <c r="G18" s="1" t="s">
        <v>88</v>
      </c>
      <c r="H18" s="1" t="s">
        <v>69</v>
      </c>
      <c r="I18" s="1" t="s">
        <v>65</v>
      </c>
      <c r="J18" s="1" t="s">
        <v>13</v>
      </c>
    </row>
    <row r="19" spans="2:10" ht="28.8" x14ac:dyDescent="0.3">
      <c r="B19" s="1" t="s">
        <v>50</v>
      </c>
      <c r="C19" s="1" t="s">
        <v>120</v>
      </c>
      <c r="D19" s="1" t="s">
        <v>89</v>
      </c>
      <c r="E19" s="1" t="s">
        <v>90</v>
      </c>
      <c r="F19" s="1" t="s">
        <v>73</v>
      </c>
      <c r="G19" s="1" t="s">
        <v>91</v>
      </c>
      <c r="H19" s="1" t="s">
        <v>92</v>
      </c>
      <c r="I19" s="1" t="s">
        <v>65</v>
      </c>
      <c r="J19" s="1" t="s">
        <v>13</v>
      </c>
    </row>
    <row r="20" spans="2:10" ht="28.8" x14ac:dyDescent="0.3">
      <c r="B20" s="1" t="s">
        <v>51</v>
      </c>
      <c r="C20" s="1" t="s">
        <v>121</v>
      </c>
      <c r="D20" s="1" t="s">
        <v>10</v>
      </c>
      <c r="E20" s="1" t="s">
        <v>93</v>
      </c>
      <c r="F20" s="1" t="s">
        <v>94</v>
      </c>
      <c r="G20" s="1" t="s">
        <v>95</v>
      </c>
      <c r="H20" s="1" t="s">
        <v>96</v>
      </c>
      <c r="I20" s="1" t="s">
        <v>65</v>
      </c>
      <c r="J20" s="1" t="s">
        <v>34</v>
      </c>
    </row>
    <row r="21" spans="2:10" ht="43.2" x14ac:dyDescent="0.3">
      <c r="B21" s="1" t="s">
        <v>81</v>
      </c>
      <c r="C21" s="1" t="s">
        <v>97</v>
      </c>
      <c r="D21" s="1" t="s">
        <v>10</v>
      </c>
      <c r="E21" s="1" t="s">
        <v>98</v>
      </c>
      <c r="F21" s="1" t="s">
        <v>15</v>
      </c>
      <c r="G21" s="1" t="s">
        <v>99</v>
      </c>
      <c r="H21" s="1" t="s">
        <v>100</v>
      </c>
      <c r="I21" s="1" t="s">
        <v>65</v>
      </c>
      <c r="J21" s="1" t="s">
        <v>34</v>
      </c>
    </row>
    <row r="22" spans="2:10" ht="28.8" x14ac:dyDescent="0.3">
      <c r="B22" s="1" t="s">
        <v>82</v>
      </c>
      <c r="C22" s="1" t="s">
        <v>106</v>
      </c>
      <c r="D22" s="1" t="s">
        <v>10</v>
      </c>
      <c r="E22" s="1" t="s">
        <v>107</v>
      </c>
      <c r="F22" s="1" t="s">
        <v>15</v>
      </c>
      <c r="G22" s="1" t="s">
        <v>108</v>
      </c>
      <c r="H22" s="1" t="s">
        <v>109</v>
      </c>
      <c r="I22" s="1" t="s">
        <v>65</v>
      </c>
      <c r="J22" s="1" t="s">
        <v>13</v>
      </c>
    </row>
  </sheetData>
  <mergeCells count="4">
    <mergeCell ref="B2:H2"/>
    <mergeCell ref="C4:E4"/>
    <mergeCell ref="F4:G4"/>
    <mergeCell ref="H4:J4"/>
  </mergeCells>
  <phoneticPr fontId="1" type="noConversion"/>
  <conditionalFormatting sqref="I6:I22">
    <cfRule type="cellIs" dxfId="5" priority="4" operator="equal">
      <formula>"Passed"</formula>
    </cfRule>
    <cfRule type="cellIs" dxfId="4" priority="5" operator="equal">
      <formula>"Passed"</formula>
    </cfRule>
    <cfRule type="cellIs" dxfId="3" priority="6" operator="equal">
      <formula>"Failed"</formula>
    </cfRule>
  </conditionalFormatting>
  <conditionalFormatting sqref="J6:J22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10A1-F8A1-4AD6-A354-929AF4C76E4A}">
  <dimension ref="B3:I20"/>
  <sheetViews>
    <sheetView topLeftCell="A6" workbookViewId="0">
      <selection activeCell="G21" sqref="G21"/>
    </sheetView>
  </sheetViews>
  <sheetFormatPr defaultRowHeight="14.4" x14ac:dyDescent="0.3"/>
  <cols>
    <col min="2" max="2" width="17.21875" customWidth="1"/>
    <col min="3" max="3" width="23" customWidth="1"/>
    <col min="4" max="4" width="15.5546875" customWidth="1"/>
    <col min="5" max="5" width="19.77734375" customWidth="1"/>
    <col min="6" max="6" width="24.5546875" customWidth="1"/>
    <col min="7" max="7" width="15.88671875" customWidth="1"/>
    <col min="8" max="9" width="10.33203125" customWidth="1"/>
  </cols>
  <sheetData>
    <row r="3" spans="2:9" ht="21" x14ac:dyDescent="0.4">
      <c r="B3" s="4" t="s">
        <v>196</v>
      </c>
      <c r="C3" s="5"/>
      <c r="D3" s="5"/>
    </row>
    <row r="5" spans="2:9" ht="25.8" customHeight="1" x14ac:dyDescent="0.3">
      <c r="B5" s="3" t="s">
        <v>156</v>
      </c>
      <c r="C5" s="3" t="s">
        <v>1</v>
      </c>
      <c r="D5" s="3" t="s">
        <v>157</v>
      </c>
      <c r="E5" s="3" t="s">
        <v>158</v>
      </c>
      <c r="F5" s="3" t="s">
        <v>5</v>
      </c>
      <c r="G5" s="3" t="s">
        <v>6</v>
      </c>
      <c r="H5" s="3" t="s">
        <v>159</v>
      </c>
      <c r="I5" s="3" t="s">
        <v>7</v>
      </c>
    </row>
    <row r="6" spans="2:9" ht="43.2" x14ac:dyDescent="0.3">
      <c r="B6" s="1" t="s">
        <v>160</v>
      </c>
      <c r="C6" s="1" t="s">
        <v>128</v>
      </c>
      <c r="D6" s="1" t="s">
        <v>129</v>
      </c>
      <c r="E6" s="1" t="s">
        <v>161</v>
      </c>
      <c r="F6" s="1" t="s">
        <v>11</v>
      </c>
      <c r="G6" s="1" t="s">
        <v>130</v>
      </c>
      <c r="H6" s="1" t="s">
        <v>13</v>
      </c>
      <c r="I6" s="1" t="s">
        <v>131</v>
      </c>
    </row>
    <row r="7" spans="2:9" ht="43.2" x14ac:dyDescent="0.3">
      <c r="B7" s="1" t="s">
        <v>132</v>
      </c>
      <c r="C7" s="1" t="s">
        <v>133</v>
      </c>
      <c r="D7" s="1" t="s">
        <v>129</v>
      </c>
      <c r="E7" s="1" t="s">
        <v>162</v>
      </c>
      <c r="F7" s="1" t="s">
        <v>16</v>
      </c>
      <c r="G7" s="1" t="s">
        <v>134</v>
      </c>
      <c r="H7" s="1" t="s">
        <v>13</v>
      </c>
      <c r="I7" s="1" t="s">
        <v>131</v>
      </c>
    </row>
    <row r="8" spans="2:9" ht="28.8" x14ac:dyDescent="0.3">
      <c r="B8" s="1" t="s">
        <v>135</v>
      </c>
      <c r="C8" s="1" t="s">
        <v>136</v>
      </c>
      <c r="D8" s="1" t="s">
        <v>129</v>
      </c>
      <c r="E8" s="1" t="s">
        <v>163</v>
      </c>
      <c r="F8" s="1" t="s">
        <v>137</v>
      </c>
      <c r="G8" s="1" t="s">
        <v>164</v>
      </c>
      <c r="H8" s="1" t="s">
        <v>28</v>
      </c>
      <c r="I8" s="1" t="s">
        <v>198</v>
      </c>
    </row>
    <row r="9" spans="2:9" ht="28.8" x14ac:dyDescent="0.3">
      <c r="B9" s="1" t="s">
        <v>138</v>
      </c>
      <c r="C9" s="1" t="s">
        <v>29</v>
      </c>
      <c r="D9" s="1" t="s">
        <v>129</v>
      </c>
      <c r="E9" s="1" t="s">
        <v>165</v>
      </c>
      <c r="F9" s="1" t="s">
        <v>139</v>
      </c>
      <c r="G9" s="1" t="s">
        <v>140</v>
      </c>
      <c r="H9" s="1" t="s">
        <v>34</v>
      </c>
      <c r="I9" s="1" t="s">
        <v>198</v>
      </c>
    </row>
    <row r="10" spans="2:9" ht="28.8" x14ac:dyDescent="0.3">
      <c r="B10" s="1" t="s">
        <v>141</v>
      </c>
      <c r="C10" s="1" t="s">
        <v>142</v>
      </c>
      <c r="D10" s="1" t="s">
        <v>129</v>
      </c>
      <c r="E10" s="1" t="s">
        <v>166</v>
      </c>
      <c r="F10" s="1" t="s">
        <v>167</v>
      </c>
      <c r="G10" s="1" t="s">
        <v>168</v>
      </c>
      <c r="H10" s="1" t="s">
        <v>13</v>
      </c>
      <c r="I10" s="1" t="s">
        <v>198</v>
      </c>
    </row>
    <row r="11" spans="2:9" ht="28.8" x14ac:dyDescent="0.3">
      <c r="B11" s="1" t="s">
        <v>143</v>
      </c>
      <c r="C11" s="1" t="s">
        <v>144</v>
      </c>
      <c r="D11" s="1" t="s">
        <v>129</v>
      </c>
      <c r="E11" s="1" t="s">
        <v>169</v>
      </c>
      <c r="F11" s="1" t="s">
        <v>170</v>
      </c>
      <c r="G11" s="1" t="s">
        <v>171</v>
      </c>
      <c r="H11" s="1" t="s">
        <v>13</v>
      </c>
      <c r="I11" s="1" t="s">
        <v>131</v>
      </c>
    </row>
    <row r="12" spans="2:9" ht="28.8" x14ac:dyDescent="0.3">
      <c r="B12" s="1" t="s">
        <v>145</v>
      </c>
      <c r="C12" s="1" t="s">
        <v>146</v>
      </c>
      <c r="D12" s="1" t="s">
        <v>129</v>
      </c>
      <c r="E12" s="1" t="s">
        <v>172</v>
      </c>
      <c r="F12" s="1" t="s">
        <v>173</v>
      </c>
      <c r="G12" s="1" t="s">
        <v>174</v>
      </c>
      <c r="H12" s="1" t="s">
        <v>13</v>
      </c>
      <c r="I12" s="1" t="s">
        <v>131</v>
      </c>
    </row>
    <row r="13" spans="2:9" ht="28.8" x14ac:dyDescent="0.3">
      <c r="B13" s="1" t="s">
        <v>147</v>
      </c>
      <c r="C13" s="1" t="s">
        <v>148</v>
      </c>
      <c r="D13" s="1" t="s">
        <v>129</v>
      </c>
      <c r="E13" s="1" t="s">
        <v>175</v>
      </c>
      <c r="F13" s="1" t="s">
        <v>149</v>
      </c>
      <c r="G13" s="1" t="s">
        <v>150</v>
      </c>
      <c r="H13" s="1" t="s">
        <v>13</v>
      </c>
      <c r="I13" s="1" t="s">
        <v>198</v>
      </c>
    </row>
    <row r="14" spans="2:9" ht="28.8" x14ac:dyDescent="0.3">
      <c r="B14" s="1" t="s">
        <v>151</v>
      </c>
      <c r="C14" s="1" t="s">
        <v>152</v>
      </c>
      <c r="D14" s="1" t="s">
        <v>129</v>
      </c>
      <c r="E14" s="1" t="s">
        <v>176</v>
      </c>
      <c r="F14" s="1" t="s">
        <v>153</v>
      </c>
      <c r="G14" s="1" t="s">
        <v>177</v>
      </c>
      <c r="H14" s="1" t="s">
        <v>28</v>
      </c>
      <c r="I14" s="1" t="s">
        <v>198</v>
      </c>
    </row>
    <row r="15" spans="2:9" x14ac:dyDescent="0.3">
      <c r="B15" s="1" t="s">
        <v>154</v>
      </c>
      <c r="C15" s="1" t="s">
        <v>178</v>
      </c>
      <c r="D15" s="1" t="s">
        <v>129</v>
      </c>
      <c r="E15" s="1" t="s">
        <v>179</v>
      </c>
      <c r="F15" s="1" t="s">
        <v>39</v>
      </c>
      <c r="G15" s="1" t="s">
        <v>155</v>
      </c>
      <c r="H15" s="1" t="s">
        <v>13</v>
      </c>
      <c r="I15" s="1" t="s">
        <v>198</v>
      </c>
    </row>
    <row r="16" spans="2:9" x14ac:dyDescent="0.3">
      <c r="B16" s="1" t="s">
        <v>180</v>
      </c>
      <c r="C16" s="1" t="s">
        <v>181</v>
      </c>
      <c r="D16" s="1" t="s">
        <v>129</v>
      </c>
      <c r="E16" s="1" t="s">
        <v>85</v>
      </c>
      <c r="F16" s="1" t="s">
        <v>182</v>
      </c>
      <c r="G16" s="1" t="s">
        <v>183</v>
      </c>
      <c r="H16" s="1" t="s">
        <v>13</v>
      </c>
      <c r="I16" s="1" t="s">
        <v>131</v>
      </c>
    </row>
    <row r="17" spans="2:9" x14ac:dyDescent="0.3">
      <c r="B17" s="1" t="s">
        <v>184</v>
      </c>
      <c r="C17" s="1" t="s">
        <v>45</v>
      </c>
      <c r="D17" s="1" t="s">
        <v>129</v>
      </c>
      <c r="E17" s="1" t="s">
        <v>60</v>
      </c>
      <c r="F17" s="1" t="s">
        <v>185</v>
      </c>
      <c r="G17" s="1" t="s">
        <v>186</v>
      </c>
      <c r="H17" s="1" t="s">
        <v>13</v>
      </c>
      <c r="I17" s="1" t="s">
        <v>198</v>
      </c>
    </row>
    <row r="18" spans="2:9" x14ac:dyDescent="0.3">
      <c r="B18" s="1" t="s">
        <v>187</v>
      </c>
      <c r="C18" s="1" t="s">
        <v>188</v>
      </c>
      <c r="D18" s="1" t="s">
        <v>129</v>
      </c>
      <c r="E18" s="1" t="s">
        <v>189</v>
      </c>
      <c r="F18" s="1" t="s">
        <v>190</v>
      </c>
      <c r="G18" s="1" t="s">
        <v>49</v>
      </c>
      <c r="H18" s="1" t="s">
        <v>34</v>
      </c>
      <c r="I18" s="1" t="s">
        <v>198</v>
      </c>
    </row>
    <row r="19" spans="2:9" x14ac:dyDescent="0.3">
      <c r="B19" s="1" t="s">
        <v>191</v>
      </c>
      <c r="C19" s="1" t="s">
        <v>192</v>
      </c>
      <c r="D19" s="1" t="s">
        <v>129</v>
      </c>
      <c r="E19" s="1" t="s">
        <v>193</v>
      </c>
      <c r="F19" s="1" t="s">
        <v>194</v>
      </c>
      <c r="G19" s="1" t="s">
        <v>195</v>
      </c>
      <c r="H19" s="1" t="s">
        <v>34</v>
      </c>
      <c r="I19" s="1" t="s">
        <v>131</v>
      </c>
    </row>
    <row r="20" spans="2:9" ht="28.8" x14ac:dyDescent="0.3">
      <c r="B20" s="1" t="s">
        <v>201</v>
      </c>
      <c r="C20" s="1" t="s">
        <v>199</v>
      </c>
      <c r="D20" s="1" t="s">
        <v>129</v>
      </c>
      <c r="E20" s="1" t="s">
        <v>200</v>
      </c>
      <c r="F20" s="1" t="s">
        <v>202</v>
      </c>
      <c r="G20" s="1" t="s">
        <v>203</v>
      </c>
      <c r="H20" s="1" t="s">
        <v>34</v>
      </c>
      <c r="I20" s="1" t="s">
        <v>131</v>
      </c>
    </row>
  </sheetData>
  <mergeCells count="1">
    <mergeCell ref="B3:D3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F460-88CB-4684-BFB5-4292C0240BAA}">
  <dimension ref="B2:F11"/>
  <sheetViews>
    <sheetView tabSelected="1" workbookViewId="0">
      <selection activeCell="C8" sqref="C8"/>
    </sheetView>
  </sheetViews>
  <sheetFormatPr defaultRowHeight="14.4" x14ac:dyDescent="0.3"/>
  <cols>
    <col min="2" max="2" width="23" customWidth="1"/>
    <col min="3" max="3" width="10.33203125" customWidth="1"/>
  </cols>
  <sheetData>
    <row r="2" spans="2:6" ht="21" x14ac:dyDescent="0.4">
      <c r="B2" s="4" t="s">
        <v>197</v>
      </c>
      <c r="C2" s="5"/>
      <c r="D2" s="5"/>
      <c r="E2" s="5"/>
      <c r="F2" s="5"/>
    </row>
    <row r="4" spans="2:6" x14ac:dyDescent="0.3">
      <c r="B4" s="3" t="s">
        <v>124</v>
      </c>
      <c r="C4" s="3" t="s">
        <v>125</v>
      </c>
    </row>
    <row r="5" spans="2:6" x14ac:dyDescent="0.3">
      <c r="B5" t="s">
        <v>126</v>
      </c>
      <c r="C5">
        <v>17</v>
      </c>
    </row>
    <row r="6" spans="2:6" x14ac:dyDescent="0.3">
      <c r="B6" t="s">
        <v>65</v>
      </c>
      <c r="C6">
        <f>COUNTIF('Test cases'!I6:I22, "Passed")</f>
        <v>9</v>
      </c>
    </row>
    <row r="7" spans="2:6" x14ac:dyDescent="0.3">
      <c r="B7" t="s">
        <v>12</v>
      </c>
      <c r="C7">
        <f>COUNTIF('Test cases'!I6:I22, "Failed")</f>
        <v>8</v>
      </c>
    </row>
    <row r="8" spans="2:6" x14ac:dyDescent="0.3">
      <c r="B8" t="s">
        <v>127</v>
      </c>
      <c r="C8">
        <v>15</v>
      </c>
    </row>
    <row r="9" spans="2:6" x14ac:dyDescent="0.3">
      <c r="B9" t="s">
        <v>34</v>
      </c>
      <c r="C9">
        <f>COUNTIF('Test cases'!J6:J22, "High")</f>
        <v>10</v>
      </c>
    </row>
    <row r="10" spans="2:6" x14ac:dyDescent="0.3">
      <c r="B10" t="s">
        <v>13</v>
      </c>
      <c r="C10">
        <f>COUNTIF('Test cases'!J6:J22, "Medium")</f>
        <v>6</v>
      </c>
    </row>
    <row r="11" spans="2:6" x14ac:dyDescent="0.3">
      <c r="B11" t="s">
        <v>28</v>
      </c>
      <c r="C11">
        <f>COUNTIF('Test cases'!J6:J22, "Low")</f>
        <v>1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Defects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Стеваноска Илина</dc:creator>
  <cp:lastModifiedBy>Стеваноска Илина</cp:lastModifiedBy>
  <dcterms:created xsi:type="dcterms:W3CDTF">2026-03-25T11:35:07Z</dcterms:created>
  <dcterms:modified xsi:type="dcterms:W3CDTF">2026-03-26T19:44:04Z</dcterms:modified>
</cp:coreProperties>
</file>